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Даяна Исмакова\Desktop\проги\I_NEED_IT\курсовая работа\"/>
    </mc:Choice>
  </mc:AlternateContent>
  <xr:revisionPtr revIDLastSave="0" documentId="13_ncr:1_{DAA762C2-AE30-4AC3-A118-8AE6BE914B41}" xr6:coauthVersionLast="36" xr6:coauthVersionMax="36" xr10:uidLastSave="{00000000-0000-0000-0000-000000000000}"/>
  <bookViews>
    <workbookView xWindow="0" yWindow="0" windowWidth="19200" windowHeight="7755" activeTab="2" xr2:uid="{B45DA92A-8BFC-41CD-A2E1-8F38FBB87229}"/>
  </bookViews>
  <sheets>
    <sheet name="Товары Ф" sheetId="1" r:id="rId1"/>
    <sheet name="Товары" sheetId="4" r:id="rId2"/>
    <sheet name="Клиенты" sheetId="5" r:id="rId3"/>
    <sheet name="С подчиненной" sheetId="9" r:id="rId4"/>
    <sheet name="Итоги" sheetId="12" r:id="rId5"/>
    <sheet name="Продажи" sheetId="6" r:id="rId6"/>
    <sheet name="Продажи Ф" sheetId="8" r:id="rId7"/>
  </sheets>
  <definedNames>
    <definedName name="Client">#REF!</definedName>
    <definedName name="Diapason">'Товары Ф'!$F$1:$F$2</definedName>
    <definedName name="Diapason1">#REF!</definedName>
    <definedName name="Product">'Товары Ф'!$F$1</definedName>
    <definedName name="Value">'Товары Ф'!$F$2</definedName>
  </definedNames>
  <calcPr calcId="191029"/>
  <pivotCaches>
    <pivotCache cacheId="5" r:id="rId8"/>
    <pivotCache cacheId="1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6" l="1"/>
  <c r="F2" i="6"/>
  <c r="E2" i="6"/>
  <c r="C2" i="6"/>
  <c r="A2" i="6"/>
  <c r="I3" i="6"/>
  <c r="F3" i="6"/>
  <c r="E3" i="6"/>
  <c r="C3" i="6"/>
  <c r="A3" i="6"/>
  <c r="I4" i="6" l="1"/>
  <c r="F4" i="6"/>
  <c r="E4" i="6"/>
  <c r="C4" i="6"/>
  <c r="A4" i="6"/>
  <c r="F8" i="6"/>
  <c r="I8" i="6" s="1"/>
  <c r="E8" i="6"/>
  <c r="A7" i="6"/>
  <c r="F5" i="6"/>
  <c r="I5" i="6" s="1"/>
  <c r="E5" i="6"/>
  <c r="C5" i="6"/>
  <c r="F6" i="6"/>
  <c r="I6" i="6" s="1"/>
  <c r="E6" i="6"/>
  <c r="C6" i="6"/>
  <c r="F7" i="6"/>
  <c r="I7" i="6" s="1"/>
  <c r="E7" i="6"/>
  <c r="C7" i="6"/>
  <c r="A6" i="6"/>
  <c r="A5" i="6" s="1"/>
  <c r="B3" i="8"/>
  <c r="B6" i="8"/>
  <c r="B5" i="8"/>
  <c r="C8" i="6"/>
  <c r="C9" i="6"/>
  <c r="C10" i="6"/>
  <c r="C11" i="6"/>
  <c r="C12" i="6"/>
  <c r="C13" i="6"/>
  <c r="C14" i="6"/>
  <c r="C15" i="6"/>
  <c r="C16" i="6"/>
  <c r="C17" i="6"/>
  <c r="C18" i="6"/>
  <c r="C19" i="6"/>
  <c r="A3" i="1"/>
  <c r="A4" i="1"/>
  <c r="A2" i="1"/>
</calcChain>
</file>

<file path=xl/sharedStrings.xml><?xml version="1.0" encoding="utf-8"?>
<sst xmlns="http://schemas.openxmlformats.org/spreadsheetml/2006/main" count="52" uniqueCount="23">
  <si>
    <t>Товар</t>
  </si>
  <si>
    <t>Код товара</t>
  </si>
  <si>
    <t>Цена</t>
  </si>
  <si>
    <t>Планшет</t>
  </si>
  <si>
    <t>Ноутбук</t>
  </si>
  <si>
    <t>Код клиента</t>
  </si>
  <si>
    <t>Клиент</t>
  </si>
  <si>
    <t>Лесив</t>
  </si>
  <si>
    <t>Иванов</t>
  </si>
  <si>
    <t>Код продажи</t>
  </si>
  <si>
    <t>Количество</t>
  </si>
  <si>
    <t>Дата покупки</t>
  </si>
  <si>
    <t>Петров</t>
  </si>
  <si>
    <t>Фамилия</t>
  </si>
  <si>
    <t>Денисова</t>
  </si>
  <si>
    <t>Телефон</t>
  </si>
  <si>
    <t>Наушники</t>
  </si>
  <si>
    <t>Итого</t>
  </si>
  <si>
    <t>Названия строк</t>
  </si>
  <si>
    <t>Общий итог</t>
  </si>
  <si>
    <t>Сумма по полю Количество</t>
  </si>
  <si>
    <t>Сумма по полю Итого</t>
  </si>
  <si>
    <t>Итоги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</si>
</sst>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</xf>
    <xf numFmtId="0" fontId="0" fillId="2" borderId="0" xfId="0" applyFill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14" fontId="0" fillId="0" borderId="0" xfId="0" applyNumberFormat="1" applyAlignment="1" applyProtection="1">
      <alignment horizontal="right"/>
      <protection locked="0"/>
    </xf>
    <xf numFmtId="0" fontId="1" fillId="0" borderId="0" xfId="0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Обычный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39" fmlaLink="$B$7" max="300" page="10" va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642938</xdr:colOff>
          <xdr:row>3</xdr:row>
          <xdr:rowOff>19050</xdr:rowOff>
        </xdr:from>
        <xdr:to>
          <xdr:col>6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642938</xdr:colOff>
          <xdr:row>7</xdr:row>
          <xdr:rowOff>71439</xdr:rowOff>
        </xdr:from>
        <xdr:to>
          <xdr:col>11</xdr:col>
          <xdr:colOff>414338</xdr:colOff>
          <xdr:row>8</xdr:row>
          <xdr:rowOff>161926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305877EA-A0EB-4974-ADDF-13E5889A4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633413</xdr:colOff>
          <xdr:row>6</xdr:row>
          <xdr:rowOff>152400</xdr:rowOff>
        </xdr:from>
        <xdr:to>
          <xdr:col>4</xdr:col>
          <xdr:colOff>395288</xdr:colOff>
          <xdr:row>8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6</xdr:row>
          <xdr:rowOff>14288</xdr:rowOff>
        </xdr:from>
        <xdr:to>
          <xdr:col>2</xdr:col>
          <xdr:colOff>233363</xdr:colOff>
          <xdr:row>7</xdr:row>
          <xdr:rowOff>0</xdr:rowOff>
        </xdr:to>
        <xdr:sp macro="" textlink="">
          <xdr:nvSpPr>
            <xdr:cNvPr id="8205" name="Spinner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379B72A8-65F2-4B87-BA85-412245E4E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аяна Исмакова" refreshedDate="43619.912880439813" createdVersion="6" refreshedVersion="6" minRefreshableVersion="3" recordCount="5" xr:uid="{8948AA42-1EC4-4999-B3DD-BFD97F87C7A9}">
  <cacheSource type="worksheet">
    <worksheetSource ref="A1:I8" sheet="Продажи"/>
  </cacheSource>
  <cacheFields count="11">
    <cacheField name="Код продажи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Код клиента" numFmtId="0">
      <sharedItems containsSemiMixedTypes="0" containsString="0" containsNumber="1" containsInteger="1" minValue="1" maxValue="3"/>
    </cacheField>
    <cacheField name="Фамилия" numFmtId="0">
      <sharedItems count="3">
        <s v="Иванов"/>
        <s v="Петров"/>
        <s v="Лесив"/>
      </sharedItems>
    </cacheField>
    <cacheField name="Код товара" numFmtId="0">
      <sharedItems containsSemiMixedTypes="0" containsString="0" containsNumber="1" containsInteger="1" minValue="1" maxValue="3"/>
    </cacheField>
    <cacheField name="Товар" numFmtId="0">
      <sharedItems count="3">
        <s v="Телефон"/>
        <s v="Планшет"/>
        <s v="Ноутбук"/>
      </sharedItems>
    </cacheField>
    <cacheField name="Цена" numFmtId="0">
      <sharedItems containsSemiMixedTypes="0" containsString="0" containsNumber="1" containsInteger="1" minValue="14000" maxValue="60000" count="3">
        <n v="34400"/>
        <n v="14000"/>
        <n v="60000"/>
      </sharedItems>
    </cacheField>
    <cacheField name="Количество" numFmtId="0">
      <sharedItems containsSemiMixedTypes="0" containsString="0" containsNumber="1" containsInteger="1" minValue="1" maxValue="4" count="4">
        <n v="3"/>
        <n v="1"/>
        <n v="2"/>
        <n v="4"/>
      </sharedItems>
    </cacheField>
    <cacheField name="Дата покупки" numFmtId="14">
      <sharedItems containsSemiMixedTypes="0" containsNonDate="0" containsDate="1" containsString="0" minDate="1999-08-30T00:00:00" maxDate="2012-12-13T00:00:00" count="3">
        <d v="2012-12-12T00:00:00"/>
        <d v="1999-08-30T00:00:00"/>
        <d v="1999-09-30T00:00:00"/>
      </sharedItems>
      <fieldGroup par="10" base="7">
        <rangePr groupBy="months" startDate="1999-08-30T00:00:00" endDate="2012-12-13T00:00:00"/>
        <groupItems count="14">
          <s v="&lt;30.08.1999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3.12.2012"/>
        </groupItems>
      </fieldGroup>
    </cacheField>
    <cacheField name="Итого" numFmtId="0">
      <sharedItems containsSemiMixedTypes="0" containsString="0" containsNumber="1" containsInteger="1" minValue="14000" maxValue="120000" count="4">
        <n v="103200"/>
        <n v="14000"/>
        <n v="120000"/>
        <n v="56000"/>
      </sharedItems>
    </cacheField>
    <cacheField name="Кварталы" numFmtId="0" databaseField="0">
      <fieldGroup base="7">
        <rangePr groupBy="quarters" startDate="1999-08-30T00:00:00" endDate="2012-12-13T00:00:00"/>
        <groupItems count="6">
          <s v="&lt;30.08.1999"/>
          <s v="Кв-л1"/>
          <s v="Кв-л2"/>
          <s v="Кв-л3"/>
          <s v="Кв-л4"/>
          <s v="&gt;13.12.2012"/>
        </groupItems>
      </fieldGroup>
    </cacheField>
    <cacheField name="Годы" numFmtId="0" databaseField="0">
      <fieldGroup base="7">
        <rangePr groupBy="years" startDate="1999-08-30T00:00:00" endDate="2012-12-13T00:00:00"/>
        <groupItems count="16">
          <s v="&lt;30.08.1999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&gt;13.12.20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аяна Исмакова" refreshedDate="43625.64521909722" createdVersion="6" refreshedVersion="6" minRefreshableVersion="3" recordCount="18" xr:uid="{27B3255F-D493-4F30-A4FD-437EBF57CFE5}">
  <cacheSource type="worksheet">
    <worksheetSource ref="A1:I19" sheet="Продажи"/>
  </cacheSource>
  <cacheFields count="9">
    <cacheField name="Код продажи" numFmtId="0">
      <sharedItems containsString="0" containsBlank="1" containsNumber="1" containsInteger="1" minValue="1" maxValue="7"/>
    </cacheField>
    <cacheField name="Код клиента" numFmtId="0">
      <sharedItems containsString="0" containsBlank="1" containsNumber="1" containsInteger="1" minValue="1" maxValue="3"/>
    </cacheField>
    <cacheField name="Фамилия" numFmtId="0">
      <sharedItems count="4">
        <s v="Иванов"/>
        <s v="Петров"/>
        <s v="Лесив"/>
        <s v=""/>
      </sharedItems>
    </cacheField>
    <cacheField name="Код товара" numFmtId="0">
      <sharedItems containsString="0" containsBlank="1" containsNumber="1" containsInteger="1" minValue="1" maxValue="3"/>
    </cacheField>
    <cacheField name="Товар" numFmtId="0">
      <sharedItems containsBlank="1" count="4">
        <s v="Планшет"/>
        <s v="Телефон"/>
        <s v="Ноутбук"/>
        <m/>
      </sharedItems>
    </cacheField>
    <cacheField name="Цена" numFmtId="0">
      <sharedItems containsString="0" containsBlank="1" containsNumber="1" containsInteger="1" minValue="14000" maxValue="60000"/>
    </cacheField>
    <cacheField name="Количество" numFmtId="0">
      <sharedItems containsString="0" containsBlank="1" containsNumber="1" containsInteger="1" minValue="1" maxValue="4"/>
    </cacheField>
    <cacheField name="Дата покупки" numFmtId="0">
      <sharedItems containsNonDate="0" containsDate="1" containsString="0" containsBlank="1" minDate="1999-08-30T00:00:00" maxDate="2012-12-13T00:00:00"/>
    </cacheField>
    <cacheField name="Итого" numFmtId="0">
      <sharedItems containsString="0" containsBlank="1" containsNumber="1" containsInteger="1" minValue="14000" maxValue="1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"/>
    <x v="0"/>
    <n v="3"/>
    <x v="0"/>
    <x v="0"/>
    <x v="0"/>
    <x v="0"/>
    <x v="0"/>
  </r>
  <r>
    <x v="1"/>
    <n v="3"/>
    <x v="1"/>
    <n v="1"/>
    <x v="1"/>
    <x v="1"/>
    <x v="1"/>
    <x v="0"/>
    <x v="1"/>
  </r>
  <r>
    <x v="2"/>
    <n v="2"/>
    <x v="2"/>
    <n v="1"/>
    <x v="1"/>
    <x v="1"/>
    <x v="1"/>
    <x v="0"/>
    <x v="1"/>
  </r>
  <r>
    <x v="3"/>
    <n v="2"/>
    <x v="2"/>
    <n v="2"/>
    <x v="2"/>
    <x v="2"/>
    <x v="2"/>
    <x v="1"/>
    <x v="2"/>
  </r>
  <r>
    <x v="4"/>
    <n v="2"/>
    <x v="2"/>
    <n v="1"/>
    <x v="1"/>
    <x v="1"/>
    <x v="3"/>
    <x v="2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n v="7"/>
    <n v="1"/>
    <x v="0"/>
    <n v="1"/>
    <x v="0"/>
    <n v="14000"/>
    <n v="3"/>
    <d v="2012-12-12T00:00:00"/>
    <n v="42000"/>
  </r>
  <r>
    <n v="6"/>
    <n v="3"/>
    <x v="1"/>
    <n v="1"/>
    <x v="0"/>
    <n v="14000"/>
    <n v="3"/>
    <d v="2012-12-12T00:00:00"/>
    <n v="42000"/>
  </r>
  <r>
    <n v="5"/>
    <n v="1"/>
    <x v="0"/>
    <n v="3"/>
    <x v="1"/>
    <n v="34400"/>
    <n v="3"/>
    <d v="2012-12-12T00:00:00"/>
    <n v="103200"/>
  </r>
  <r>
    <n v="4"/>
    <n v="3"/>
    <x v="1"/>
    <n v="1"/>
    <x v="0"/>
    <n v="14000"/>
    <n v="1"/>
    <d v="2012-12-12T00:00:00"/>
    <n v="14000"/>
  </r>
  <r>
    <n v="3"/>
    <n v="2"/>
    <x v="2"/>
    <n v="1"/>
    <x v="0"/>
    <n v="14000"/>
    <n v="1"/>
    <d v="2012-12-12T00:00:00"/>
    <n v="14000"/>
  </r>
  <r>
    <n v="2"/>
    <n v="2"/>
    <x v="2"/>
    <n v="2"/>
    <x v="2"/>
    <n v="60000"/>
    <n v="2"/>
    <d v="1999-08-30T00:00:00"/>
    <n v="120000"/>
  </r>
  <r>
    <n v="1"/>
    <n v="2"/>
    <x v="2"/>
    <n v="1"/>
    <x v="0"/>
    <n v="14000"/>
    <n v="4"/>
    <d v="1999-09-30T00:00:00"/>
    <n v="56000"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0BE6F4-724A-405A-A33D-B74CD2A1E6BC}" name="Сводная таблица1" cacheId="5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5" firstHeaderRow="0" firstDataRow="1" firstDataCol="1" rowPageCount="1" colPageCount="1"/>
  <pivotFields count="11">
    <pivotField showAll="0"/>
    <pivotField showAll="0"/>
    <pivotField axis="axisPage" showAll="0">
      <items count="4">
        <item x="0"/>
        <item x="2"/>
        <item x="1"/>
        <item t="default"/>
      </items>
    </pivotField>
    <pivotField showAll="0"/>
    <pivotField axis="axisRow" showAll="0">
      <items count="4">
        <item x="2"/>
        <item x="1"/>
        <item x="0"/>
        <item t="default"/>
      </items>
    </pivotField>
    <pivotField showAll="0"/>
    <pivotField dataField="1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4"/>
  </rowFields>
  <rowItems count="2"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0" hier="-1"/>
  </pageFields>
  <dataFields count="2">
    <dataField name="Сумма по полю Количество" fld="6" baseField="0" baseItem="0"/>
    <dataField name="Сумма по полю Итого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7F6943-AD48-433A-8A90-DFB6F431DEE2}" name="Сводная таблица3" cacheId="1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8" firstHeaderRow="0" firstDataRow="1" firstDataCol="1"/>
  <pivotFields count="9">
    <pivotField showAll="0"/>
    <pivotField showAll="0"/>
    <pivotField axis="axisRow" showAll="0">
      <items count="5">
        <item x="3"/>
        <item x="0"/>
        <item x="2"/>
        <item x="1"/>
        <item t="default"/>
      </items>
    </pivotField>
    <pivotField showAll="0"/>
    <pivotField showAll="0">
      <items count="5">
        <item x="2"/>
        <item x="0"/>
        <item x="1"/>
        <item x="3"/>
        <item t="default"/>
      </items>
    </pivotField>
    <pivotField showAll="0"/>
    <pivotField dataField="1"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Количество" fld="6" baseField="0" baseItem="0"/>
    <dataField name="Сумма по полю Итого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04315D-0C81-44AD-88DC-F3BCB9EED9F0}" name="Таблица1" displayName="Таблица1" ref="A1:C4" totalsRowShown="0">
  <tableColumns count="3">
    <tableColumn id="1" xr3:uid="{67A09DAA-BCBD-4902-94A4-32B4D06D43AB}" name="Код товара" dataDxfId="1">
      <calculatedColumnFormula>IF(ISBLANK(B2), "", COUNTA($B$2:B2))</calculatedColumnFormula>
    </tableColumn>
    <tableColumn id="2" xr3:uid="{AB60D433-3F09-435F-83C0-BF700590013D}" name="Товар"/>
    <tableColumn id="3" xr3:uid="{E84464E4-1538-48BE-89B8-37383CA6F518}" name="Цена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11A0F0-BF57-42CB-94AB-2965848CF61C}" name="Таблица5" displayName="Таблица5" ref="A1:C5" totalsRowShown="0" headerRowDxfId="0">
  <tableColumns count="3">
    <tableColumn id="1" xr3:uid="{6610F8D5-A883-482A-BE16-A9785D7BBC39}" name="Код товара"/>
    <tableColumn id="2" xr3:uid="{49AEEF33-20EC-4D88-ACF8-9CB7E2C05802}" name="Товар"/>
    <tableColumn id="3" xr3:uid="{33CA0F4D-5CB9-4F1F-97B9-3E5757C12E0E}" name="Цена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9A23F2-FB07-4F15-942F-40215C546DF6}" name="Таблица4" displayName="Таблица4" ref="A1:B5" totalsRowShown="0">
  <tableColumns count="2">
    <tableColumn id="1" xr3:uid="{3D5EB98D-F622-41E1-9E98-4395135DEE7C}" name="Код клиента"/>
    <tableColumn id="2" xr3:uid="{CCC0BA25-2F3B-45D8-85EA-19A88BBC1731}" name="Клиент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9F4A2-3709-401A-A656-8668E9163E07}">
  <sheetPr codeName="Products"/>
  <dimension ref="A1:F4"/>
  <sheetViews>
    <sheetView workbookViewId="0">
      <selection activeCell="G4" sqref="G4"/>
    </sheetView>
  </sheetViews>
  <sheetFormatPr defaultRowHeight="14.25" x14ac:dyDescent="0.45"/>
  <cols>
    <col min="1" max="1" width="11.73046875" customWidth="1"/>
    <col min="6" max="6" width="13.19921875" customWidth="1"/>
  </cols>
  <sheetData>
    <row r="1" spans="1:6" x14ac:dyDescent="0.45">
      <c r="A1" t="s">
        <v>1</v>
      </c>
      <c r="B1" t="s">
        <v>0</v>
      </c>
      <c r="C1" t="s">
        <v>2</v>
      </c>
      <c r="E1" s="1" t="s">
        <v>0</v>
      </c>
      <c r="F1" s="2"/>
    </row>
    <row r="2" spans="1:6" ht="14.65" thickBot="1" x14ac:dyDescent="0.5">
      <c r="A2">
        <f>IF(ISBLANK(B2), "", COUNTA($B$2:B2))</f>
        <v>1</v>
      </c>
      <c r="B2" t="s">
        <v>3</v>
      </c>
      <c r="C2">
        <v>12000</v>
      </c>
      <c r="E2" s="3" t="s">
        <v>2</v>
      </c>
      <c r="F2" s="4"/>
    </row>
    <row r="3" spans="1:6" x14ac:dyDescent="0.45">
      <c r="A3">
        <f>IF(ISBLANK(B3), "", COUNTA($B$2:B3))</f>
        <v>2</v>
      </c>
      <c r="B3" t="s">
        <v>4</v>
      </c>
      <c r="C3">
        <v>60000</v>
      </c>
    </row>
    <row r="4" spans="1:6" x14ac:dyDescent="0.45">
      <c r="A4">
        <f>IF(ISBLANK(B4), "", COUNTA($B$2:B4))</f>
        <v>3</v>
      </c>
      <c r="B4" t="s">
        <v>4</v>
      </c>
      <c r="C4">
        <v>12000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ducts.DataEntryForm">
                <anchor moveWithCells="1" sizeWithCells="1">
                  <from>
                    <xdr:col>4</xdr:col>
                    <xdr:colOff>642938</xdr:colOff>
                    <xdr:row>3</xdr:row>
                    <xdr:rowOff>19050</xdr:rowOff>
                  </from>
                  <to>
                    <xdr:col>6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FC7D-9B34-4CAA-9AD8-6A281585B9E1}">
  <sheetPr codeName="Лист3"/>
  <dimension ref="A1:C5"/>
  <sheetViews>
    <sheetView workbookViewId="0">
      <selection activeCell="E6" sqref="E6"/>
    </sheetView>
  </sheetViews>
  <sheetFormatPr defaultRowHeight="14.25" x14ac:dyDescent="0.45"/>
  <cols>
    <col min="1" max="1" width="13.3984375" customWidth="1"/>
  </cols>
  <sheetData>
    <row r="1" spans="1:3" x14ac:dyDescent="0.45">
      <c r="A1" s="5" t="s">
        <v>1</v>
      </c>
      <c r="B1" s="5" t="s">
        <v>0</v>
      </c>
      <c r="C1" s="5" t="s">
        <v>2</v>
      </c>
    </row>
    <row r="2" spans="1:3" x14ac:dyDescent="0.45">
      <c r="A2">
        <v>1</v>
      </c>
      <c r="B2" t="s">
        <v>3</v>
      </c>
      <c r="C2">
        <v>14000</v>
      </c>
    </row>
    <row r="3" spans="1:3" x14ac:dyDescent="0.45">
      <c r="A3">
        <v>2</v>
      </c>
      <c r="B3" t="s">
        <v>4</v>
      </c>
      <c r="C3">
        <v>60000</v>
      </c>
    </row>
    <row r="4" spans="1:3" x14ac:dyDescent="0.45">
      <c r="A4">
        <v>3</v>
      </c>
      <c r="B4" t="s">
        <v>15</v>
      </c>
      <c r="C4">
        <v>34400</v>
      </c>
    </row>
    <row r="5" spans="1:3" x14ac:dyDescent="0.45">
      <c r="A5">
        <v>4</v>
      </c>
      <c r="B5" t="s">
        <v>16</v>
      </c>
      <c r="C5">
        <v>1000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41FF-679B-4A7D-97DC-5D8F33C9DD2B}">
  <sheetPr codeName="Лист4"/>
  <dimension ref="A1:B5"/>
  <sheetViews>
    <sheetView tabSelected="1" workbookViewId="0">
      <selection activeCell="C10" sqref="C10"/>
    </sheetView>
  </sheetViews>
  <sheetFormatPr defaultRowHeight="14.25" x14ac:dyDescent="0.45"/>
  <cols>
    <col min="1" max="1" width="12.796875" customWidth="1"/>
    <col min="2" max="2" width="19.53125" customWidth="1"/>
  </cols>
  <sheetData>
    <row r="1" spans="1:2" x14ac:dyDescent="0.45">
      <c r="A1" t="s">
        <v>5</v>
      </c>
      <c r="B1" t="s">
        <v>6</v>
      </c>
    </row>
    <row r="2" spans="1:2" x14ac:dyDescent="0.45">
      <c r="A2">
        <v>1</v>
      </c>
      <c r="B2" t="s">
        <v>8</v>
      </c>
    </row>
    <row r="3" spans="1:2" x14ac:dyDescent="0.45">
      <c r="A3">
        <v>2</v>
      </c>
      <c r="B3" t="s">
        <v>7</v>
      </c>
    </row>
    <row r="4" spans="1:2" x14ac:dyDescent="0.45">
      <c r="A4">
        <v>3</v>
      </c>
      <c r="B4" t="s">
        <v>12</v>
      </c>
    </row>
    <row r="5" spans="1:2" x14ac:dyDescent="0.45">
      <c r="A5">
        <v>4</v>
      </c>
      <c r="B5" t="s">
        <v>14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05E6A-FC92-4DE6-B7CC-1A3BDD53E0CC}">
  <dimension ref="A1:C5"/>
  <sheetViews>
    <sheetView workbookViewId="0">
      <selection activeCell="E5" sqref="E5"/>
    </sheetView>
  </sheetViews>
  <sheetFormatPr defaultRowHeight="14.25" x14ac:dyDescent="0.45"/>
  <cols>
    <col min="1" max="1" width="15.9296875" bestFit="1" customWidth="1"/>
    <col min="2" max="2" width="24.265625" bestFit="1" customWidth="1"/>
    <col min="3" max="4" width="19.33203125" bestFit="1" customWidth="1"/>
  </cols>
  <sheetData>
    <row r="1" spans="1:3" x14ac:dyDescent="0.45">
      <c r="A1" s="16" t="s">
        <v>13</v>
      </c>
      <c r="B1" t="s">
        <v>8</v>
      </c>
    </row>
    <row r="3" spans="1:3" x14ac:dyDescent="0.45">
      <c r="A3" s="16" t="s">
        <v>18</v>
      </c>
      <c r="B3" t="s">
        <v>20</v>
      </c>
      <c r="C3" t="s">
        <v>21</v>
      </c>
    </row>
    <row r="4" spans="1:3" x14ac:dyDescent="0.45">
      <c r="A4" s="17" t="s">
        <v>15</v>
      </c>
      <c r="B4" s="15">
        <v>3</v>
      </c>
      <c r="C4" s="15">
        <v>103200</v>
      </c>
    </row>
    <row r="5" spans="1:3" x14ac:dyDescent="0.45">
      <c r="A5" s="17" t="s">
        <v>19</v>
      </c>
      <c r="B5" s="15">
        <v>3</v>
      </c>
      <c r="C5" s="15">
        <v>103200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D774-8538-4679-87E9-600A6538B5F6}">
  <dimension ref="A1:C8"/>
  <sheetViews>
    <sheetView workbookViewId="0">
      <selection activeCell="C17" sqref="C17"/>
    </sheetView>
  </sheetViews>
  <sheetFormatPr defaultRowHeight="14.25" x14ac:dyDescent="0.45"/>
  <cols>
    <col min="1" max="1" width="15.9296875" bestFit="1" customWidth="1"/>
    <col min="2" max="2" width="24.265625" bestFit="1" customWidth="1"/>
    <col min="3" max="4" width="19.33203125" bestFit="1" customWidth="1"/>
  </cols>
  <sheetData>
    <row r="1" spans="1:3" x14ac:dyDescent="0.45">
      <c r="A1" t="s">
        <v>22</v>
      </c>
    </row>
    <row r="3" spans="1:3" x14ac:dyDescent="0.45">
      <c r="A3" s="16" t="s">
        <v>18</v>
      </c>
      <c r="B3" t="s">
        <v>20</v>
      </c>
      <c r="C3" t="s">
        <v>21</v>
      </c>
    </row>
    <row r="4" spans="1:3" x14ac:dyDescent="0.45">
      <c r="A4" s="17"/>
      <c r="B4" s="15"/>
      <c r="C4" s="15"/>
    </row>
    <row r="5" spans="1:3" x14ac:dyDescent="0.45">
      <c r="A5" s="17" t="s">
        <v>8</v>
      </c>
      <c r="B5" s="15">
        <v>6</v>
      </c>
      <c r="C5" s="15">
        <v>145200</v>
      </c>
    </row>
    <row r="6" spans="1:3" x14ac:dyDescent="0.45">
      <c r="A6" s="17" t="s">
        <v>7</v>
      </c>
      <c r="B6" s="15">
        <v>7</v>
      </c>
      <c r="C6" s="15">
        <v>190000</v>
      </c>
    </row>
    <row r="7" spans="1:3" x14ac:dyDescent="0.45">
      <c r="A7" s="17" t="s">
        <v>12</v>
      </c>
      <c r="B7" s="15">
        <v>4</v>
      </c>
      <c r="C7" s="15">
        <v>56000</v>
      </c>
    </row>
    <row r="8" spans="1:3" x14ac:dyDescent="0.45">
      <c r="A8" s="17" t="s">
        <v>19</v>
      </c>
      <c r="B8" s="15">
        <v>17</v>
      </c>
      <c r="C8" s="15">
        <v>391200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4BBC-D416-4C2B-A42A-8FF47DF396D4}">
  <sheetPr codeName="Лист5"/>
  <dimension ref="A1:I19"/>
  <sheetViews>
    <sheetView workbookViewId="0">
      <selection activeCell="I4" sqref="I4"/>
    </sheetView>
  </sheetViews>
  <sheetFormatPr defaultRowHeight="14.25" x14ac:dyDescent="0.45"/>
  <cols>
    <col min="1" max="1" width="14.19921875" customWidth="1"/>
    <col min="2" max="3" width="12.1328125" customWidth="1"/>
    <col min="4" max="5" width="13.46484375" customWidth="1"/>
    <col min="7" max="7" width="12.3984375" customWidth="1"/>
    <col min="8" max="8" width="13.46484375" customWidth="1"/>
  </cols>
  <sheetData>
    <row r="1" spans="1:9" x14ac:dyDescent="0.45">
      <c r="A1" s="6" t="s">
        <v>9</v>
      </c>
      <c r="B1" s="6" t="s">
        <v>5</v>
      </c>
      <c r="C1" s="6" t="s">
        <v>13</v>
      </c>
      <c r="D1" s="6" t="s">
        <v>1</v>
      </c>
      <c r="E1" s="6" t="s">
        <v>0</v>
      </c>
      <c r="F1" s="6" t="s">
        <v>2</v>
      </c>
      <c r="G1" s="6" t="s">
        <v>10</v>
      </c>
      <c r="H1" s="6" t="s">
        <v>11</v>
      </c>
      <c r="I1" s="6" t="s">
        <v>17</v>
      </c>
    </row>
    <row r="2" spans="1:9" x14ac:dyDescent="0.45">
      <c r="A2" s="6">
        <f>A3+1</f>
        <v>7</v>
      </c>
      <c r="B2" s="11">
        <v>1</v>
      </c>
      <c r="C2" s="9" t="str">
        <f>IF(B2&lt;&gt;"",VLOOKUP(B2,Таблица4[],2,0),"")</f>
        <v>Иванов</v>
      </c>
      <c r="D2" s="11">
        <v>1</v>
      </c>
      <c r="E2" s="9" t="str">
        <f>IF(D2&lt;&gt;"",VLOOKUP(D2,Таблица5[#All],2,0),"")</f>
        <v>Планшет</v>
      </c>
      <c r="F2" s="9">
        <f>IF(D2&lt;&gt;"",VLOOKUP(D2,Таблица5[#All],3,0),"")</f>
        <v>14000</v>
      </c>
      <c r="G2" s="12">
        <v>3</v>
      </c>
      <c r="H2" s="13">
        <v>41255</v>
      </c>
      <c r="I2" s="6">
        <f>G2*F2</f>
        <v>42000</v>
      </c>
    </row>
    <row r="3" spans="1:9" x14ac:dyDescent="0.45">
      <c r="A3" s="6">
        <f>A4+1</f>
        <v>6</v>
      </c>
      <c r="B3" s="11">
        <v>3</v>
      </c>
      <c r="C3" s="9" t="str">
        <f>IF(B3&lt;&gt;"",VLOOKUP(B3,Таблица4[],2,0),"")</f>
        <v>Петров</v>
      </c>
      <c r="D3" s="11">
        <v>1</v>
      </c>
      <c r="E3" s="9" t="str">
        <f>IF(D3&lt;&gt;"",VLOOKUP(D3,Таблица5[#All],2,0),"")</f>
        <v>Планшет</v>
      </c>
      <c r="F3" s="9">
        <f>IF(D3&lt;&gt;"",VLOOKUP(D3,Таблица5[#All],3,0),"")</f>
        <v>14000</v>
      </c>
      <c r="G3" s="12">
        <v>3</v>
      </c>
      <c r="H3" s="13">
        <v>41255</v>
      </c>
      <c r="I3" s="6">
        <f>G3*F3</f>
        <v>42000</v>
      </c>
    </row>
    <row r="4" spans="1:9" x14ac:dyDescent="0.45">
      <c r="A4" s="6">
        <f>A5+1</f>
        <v>5</v>
      </c>
      <c r="B4" s="11">
        <v>1</v>
      </c>
      <c r="C4" s="9" t="str">
        <f>IF(B4&lt;&gt;"",VLOOKUP(B4,Таблица4[],2,0),"")</f>
        <v>Иванов</v>
      </c>
      <c r="D4" s="11">
        <v>3</v>
      </c>
      <c r="E4" s="9" t="str">
        <f>IF(D4&lt;&gt;"",VLOOKUP(D4,Таблица5[#All],2,0),"")</f>
        <v>Телефон</v>
      </c>
      <c r="F4" s="9">
        <f>IF(D4&lt;&gt;"",VLOOKUP(D4,Таблица5[#All],3,0),"")</f>
        <v>34400</v>
      </c>
      <c r="G4" s="12">
        <v>3</v>
      </c>
      <c r="H4" s="13">
        <v>41255</v>
      </c>
      <c r="I4" s="6">
        <f>G4*F4</f>
        <v>103200</v>
      </c>
    </row>
    <row r="5" spans="1:9" x14ac:dyDescent="0.45">
      <c r="A5" s="6">
        <f>A6+1</f>
        <v>4</v>
      </c>
      <c r="B5" s="11">
        <v>3</v>
      </c>
      <c r="C5" s="9" t="str">
        <f>IF(B5&lt;&gt;"",VLOOKUP(B5,Таблица4[],2,0),"")</f>
        <v>Петров</v>
      </c>
      <c r="D5" s="11">
        <v>1</v>
      </c>
      <c r="E5" s="9" t="str">
        <f>IF(D5&lt;&gt;"",VLOOKUP(D5,Таблица5[#All],2,0),"")</f>
        <v>Планшет</v>
      </c>
      <c r="F5" s="9">
        <f>IF(D5&lt;&gt;"",VLOOKUP(D5,Таблица5[#All],3,0),"")</f>
        <v>14000</v>
      </c>
      <c r="G5" s="12">
        <v>1</v>
      </c>
      <c r="H5" s="13">
        <v>41255</v>
      </c>
      <c r="I5" s="6">
        <f>G5*F5</f>
        <v>14000</v>
      </c>
    </row>
    <row r="6" spans="1:9" x14ac:dyDescent="0.45">
      <c r="A6" s="6">
        <f>A7+1</f>
        <v>3</v>
      </c>
      <c r="B6" s="11">
        <v>2</v>
      </c>
      <c r="C6" s="9" t="str">
        <f>IF(B6&lt;&gt;"",VLOOKUP(B6,Таблица4[],2,0),"")</f>
        <v>Лесив</v>
      </c>
      <c r="D6" s="11">
        <v>1</v>
      </c>
      <c r="E6" s="9" t="str">
        <f>IF(D6&lt;&gt;"",VLOOKUP(D6,Таблица5[#All],2,0),"")</f>
        <v>Планшет</v>
      </c>
      <c r="F6" s="9">
        <f>IF(D6&lt;&gt;"",VLOOKUP(D6,Таблица5[#All],3,0),"")</f>
        <v>14000</v>
      </c>
      <c r="G6" s="12">
        <v>1</v>
      </c>
      <c r="H6" s="13">
        <v>41255</v>
      </c>
      <c r="I6" s="6">
        <f>G6*F6</f>
        <v>14000</v>
      </c>
    </row>
    <row r="7" spans="1:9" x14ac:dyDescent="0.45">
      <c r="A7" s="6">
        <f>A8+1</f>
        <v>2</v>
      </c>
      <c r="B7" s="11">
        <v>2</v>
      </c>
      <c r="C7" s="9" t="str">
        <f>IF(B7&lt;&gt;"",VLOOKUP(B7,Таблица4[],2,0),"")</f>
        <v>Лесив</v>
      </c>
      <c r="D7" s="11">
        <v>2</v>
      </c>
      <c r="E7" s="9" t="str">
        <f>IF(D7&lt;&gt;"",VLOOKUP(D7,Таблица5[#All],2,0),"")</f>
        <v>Ноутбук</v>
      </c>
      <c r="F7" s="9">
        <f>IF(D7&lt;&gt;"",VLOOKUP(D7,Таблица5[#All],3,0),"")</f>
        <v>60000</v>
      </c>
      <c r="G7" s="12">
        <v>2</v>
      </c>
      <c r="H7" s="13">
        <v>36402</v>
      </c>
      <c r="I7" s="6">
        <f>G7*F7</f>
        <v>120000</v>
      </c>
    </row>
    <row r="8" spans="1:9" x14ac:dyDescent="0.45">
      <c r="A8" s="14">
        <v>1</v>
      </c>
      <c r="B8" s="11">
        <v>2</v>
      </c>
      <c r="C8" s="9" t="str">
        <f>IF(B8&lt;&gt;"",VLOOKUP(B8,Таблица4[],2,0),"")</f>
        <v>Лесив</v>
      </c>
      <c r="D8" s="11">
        <v>1</v>
      </c>
      <c r="E8" s="9" t="str">
        <f>IF(D8&lt;&gt;"",VLOOKUP(D8,Таблица5[#All],2,0),"")</f>
        <v>Планшет</v>
      </c>
      <c r="F8" s="9">
        <f>IF(D8&lt;&gt;"",VLOOKUP(D8,Таблица5[#All],3,0),"")</f>
        <v>14000</v>
      </c>
      <c r="G8" s="12">
        <v>4</v>
      </c>
      <c r="H8" s="8">
        <v>36433</v>
      </c>
      <c r="I8" s="6">
        <f>G8*F8</f>
        <v>56000</v>
      </c>
    </row>
    <row r="9" spans="1:9" x14ac:dyDescent="0.45">
      <c r="C9" t="str">
        <f>IF(B9&lt;&gt;"",VLOOKUP(B9,Таблица4[],2,0),"")</f>
        <v/>
      </c>
    </row>
    <row r="10" spans="1:9" x14ac:dyDescent="0.45">
      <c r="C10" t="str">
        <f>IF(B10&lt;&gt;"",VLOOKUP(B10,Таблица4[],2,0),"")</f>
        <v/>
      </c>
    </row>
    <row r="11" spans="1:9" x14ac:dyDescent="0.45">
      <c r="C11" t="str">
        <f>IF(B11&lt;&gt;"",VLOOKUP(B11,Таблица4[],2,0),"")</f>
        <v/>
      </c>
    </row>
    <row r="12" spans="1:9" x14ac:dyDescent="0.45">
      <c r="C12" t="str">
        <f>IF(B12&lt;&gt;"",VLOOKUP(B12,Таблица4[],2,0),"")</f>
        <v/>
      </c>
    </row>
    <row r="13" spans="1:9" x14ac:dyDescent="0.45">
      <c r="C13" t="str">
        <f>IF(B13&lt;&gt;"",VLOOKUP(B13,Таблица4[],2,0),"")</f>
        <v/>
      </c>
    </row>
    <row r="14" spans="1:9" x14ac:dyDescent="0.45">
      <c r="C14" t="str">
        <f>IF(B14&lt;&gt;"",VLOOKUP(B14,Таблица4[],2,0),"")</f>
        <v/>
      </c>
    </row>
    <row r="15" spans="1:9" x14ac:dyDescent="0.45">
      <c r="C15" t="str">
        <f>IF(B15&lt;&gt;"",VLOOKUP(B15,Таблица4[],2,0),"")</f>
        <v/>
      </c>
    </row>
    <row r="16" spans="1:9" x14ac:dyDescent="0.45">
      <c r="C16" t="str">
        <f>IF(B16&lt;&gt;"",VLOOKUP(B16,Таблица4[],2,0),"")</f>
        <v/>
      </c>
    </row>
    <row r="17" spans="3:3" x14ac:dyDescent="0.45">
      <c r="C17" t="str">
        <f>IF(B17&lt;&gt;"",VLOOKUP(B17,Таблица4[],2,0),"")</f>
        <v/>
      </c>
    </row>
    <row r="18" spans="3:3" x14ac:dyDescent="0.45">
      <c r="C18" t="str">
        <f>IF(B18&lt;&gt;"",VLOOKUP(B18,Таблица4[],2,0),"")</f>
        <v/>
      </c>
    </row>
    <row r="19" spans="3:3" x14ac:dyDescent="0.45">
      <c r="C19" t="str">
        <f>IF(B19&lt;&gt;"",VLOOKUP(B19,Таблица4[],2,0),"")</f>
        <v/>
      </c>
    </row>
  </sheetData>
  <dataValidations count="2">
    <dataValidation type="list" allowBlank="1" showInputMessage="1" showErrorMessage="1" sqref="D2:D8" xr:uid="{08921C8E-0F0F-4D2E-80D6-8F7891B1D246}">
      <formula1>INDIRECT("Таблица5[Код товара]")</formula1>
    </dataValidation>
    <dataValidation type="list" allowBlank="1" showInputMessage="1" showErrorMessage="1" sqref="B2:B7" xr:uid="{08B197F7-96B4-49E7-972E-397AF5B4AD7D}">
      <formula1>INDIRECT("Таблица4[Код клиента]")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Добавить">
                <anchor moveWithCells="1" sizeWithCells="1">
                  <from>
                    <xdr:col>9</xdr:col>
                    <xdr:colOff>642938</xdr:colOff>
                    <xdr:row>7</xdr:row>
                    <xdr:rowOff>71438</xdr:rowOff>
                  </from>
                  <to>
                    <xdr:col>11</xdr:col>
                    <xdr:colOff>414338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A8E8D-8C5B-4A23-A7AF-809FCBCD91DA}">
  <sheetPr codeName="Лист7"/>
  <dimension ref="A1:B8"/>
  <sheetViews>
    <sheetView workbookViewId="0">
      <selection activeCell="B2" sqref="B2"/>
    </sheetView>
  </sheetViews>
  <sheetFormatPr defaultRowHeight="14.25" x14ac:dyDescent="0.45"/>
  <cols>
    <col min="1" max="1" width="14.9296875" customWidth="1"/>
    <col min="2" max="2" width="11.59765625" customWidth="1"/>
  </cols>
  <sheetData>
    <row r="1" spans="1:2" x14ac:dyDescent="0.45">
      <c r="A1" s="7"/>
      <c r="B1" s="10"/>
    </row>
    <row r="2" spans="1:2" x14ac:dyDescent="0.45">
      <c r="A2" s="7" t="s">
        <v>5</v>
      </c>
      <c r="B2" s="11">
        <v>1</v>
      </c>
    </row>
    <row r="3" spans="1:2" x14ac:dyDescent="0.45">
      <c r="A3" s="7" t="s">
        <v>13</v>
      </c>
      <c r="B3" s="9" t="str">
        <f>IF(B2&lt;&gt;"",VLOOKUP(B2,Таблица4[],2,0),"")</f>
        <v>Иванов</v>
      </c>
    </row>
    <row r="4" spans="1:2" x14ac:dyDescent="0.45">
      <c r="A4" s="7" t="s">
        <v>1</v>
      </c>
      <c r="B4" s="11">
        <v>1</v>
      </c>
    </row>
    <row r="5" spans="1:2" x14ac:dyDescent="0.45">
      <c r="A5" s="7" t="s">
        <v>0</v>
      </c>
      <c r="B5" s="9" t="str">
        <f>IF(B4&lt;&gt;"",VLOOKUP(B4,Таблица5[#All],2,0),"")</f>
        <v>Планшет</v>
      </c>
    </row>
    <row r="6" spans="1:2" x14ac:dyDescent="0.45">
      <c r="A6" s="7" t="s">
        <v>2</v>
      </c>
      <c r="B6" s="9">
        <f>IF(B4&lt;&gt;"",VLOOKUP(B4,Таблица5[#All],3,0),"")</f>
        <v>14000</v>
      </c>
    </row>
    <row r="7" spans="1:2" ht="20.65" customHeight="1" x14ac:dyDescent="0.45">
      <c r="A7" s="7" t="s">
        <v>10</v>
      </c>
      <c r="B7" s="12">
        <v>3</v>
      </c>
    </row>
    <row r="8" spans="1:2" x14ac:dyDescent="0.45">
      <c r="A8" s="7" t="s">
        <v>11</v>
      </c>
      <c r="B8" s="13">
        <v>41255</v>
      </c>
    </row>
  </sheetData>
  <dataValidations count="2">
    <dataValidation type="list" allowBlank="1" showInputMessage="1" showErrorMessage="1" sqref="B2" xr:uid="{5B7156F1-6A46-401A-BE58-7B99BBB24770}">
      <formula1>INDIRECT("Таблица4[Код клиента]")</formula1>
    </dataValidation>
    <dataValidation type="list" allowBlank="1" showInputMessage="1" showErrorMessage="1" sqref="B4" xr:uid="{92F90B16-E04D-48CA-AE25-F2BB61BC2C54}">
      <formula1>INDIRECT("Таблица5[Код товара]")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Добавить11">
                <anchor moveWithCells="1" sizeWithCells="1">
                  <from>
                    <xdr:col>2</xdr:col>
                    <xdr:colOff>633413</xdr:colOff>
                    <xdr:row>6</xdr:row>
                    <xdr:rowOff>152400</xdr:rowOff>
                  </from>
                  <to>
                    <xdr:col>4</xdr:col>
                    <xdr:colOff>395288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5" name="Spinner 13">
              <controlPr defaultSize="0" autoPict="0">
                <anchor moveWithCells="1" sizeWithCells="1">
                  <from>
                    <xdr:col>2</xdr:col>
                    <xdr:colOff>4763</xdr:colOff>
                    <xdr:row>6</xdr:row>
                    <xdr:rowOff>14288</xdr:rowOff>
                  </from>
                  <to>
                    <xdr:col>2</xdr:col>
                    <xdr:colOff>233363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Товары Ф</vt:lpstr>
      <vt:lpstr>Товары</vt:lpstr>
      <vt:lpstr>Клиенты</vt:lpstr>
      <vt:lpstr>С подчиненной</vt:lpstr>
      <vt:lpstr>Итоги</vt:lpstr>
      <vt:lpstr>Продажи</vt:lpstr>
      <vt:lpstr>Продажи Ф</vt:lpstr>
      <vt:lpstr>Diapason</vt:lpstr>
      <vt:lpstr>Product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Даяна Исмакова</dc:creator>
  <cp:lastModifiedBy>Даяна Исмакова</cp:lastModifiedBy>
  <dcterms:created xsi:type="dcterms:W3CDTF">2019-06-02T13:35:17Z</dcterms:created>
  <dcterms:modified xsi:type="dcterms:W3CDTF">2019-06-09T11:02:50Z</dcterms:modified>
</cp:coreProperties>
</file>