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Даяна Исмакова\Desktop\проги\I_NEED_IT\курсовая работа\"/>
    </mc:Choice>
  </mc:AlternateContent>
  <xr:revisionPtr revIDLastSave="0" documentId="13_ncr:1_{4CD367BF-7B1E-4C1A-994D-36A9BC0201D0}" xr6:coauthVersionLast="36" xr6:coauthVersionMax="36" xr10:uidLastSave="{00000000-0000-0000-0000-000000000000}"/>
  <bookViews>
    <workbookView xWindow="0" yWindow="0" windowWidth="9293" windowHeight="4613" activeTab="3" xr2:uid="{7AC872CE-57B4-434E-B749-2CF045324960}"/>
  </bookViews>
  <sheets>
    <sheet name="Клиенты" sheetId="1" r:id="rId1"/>
    <sheet name="Товары" sheetId="2" r:id="rId2"/>
    <sheet name="Продажи" sheetId="3" r:id="rId3"/>
    <sheet name="Лист4" sheetId="4" r:id="rId4"/>
  </sheets>
  <externalReferences>
    <externalReference r:id="rId5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2" i="3" l="1"/>
  <c r="B1" i="4"/>
  <c r="H3" i="3"/>
  <c r="B6" i="4" l="1"/>
  <c r="B5" i="4"/>
  <c r="B3" i="4"/>
</calcChain>
</file>

<file path=xl/sharedStrings.xml><?xml version="1.0" encoding="utf-8"?>
<sst xmlns="http://schemas.openxmlformats.org/spreadsheetml/2006/main" count="27" uniqueCount="14">
  <si>
    <t>Код</t>
  </si>
  <si>
    <t>Клиент</t>
  </si>
  <si>
    <t>Лесив</t>
  </si>
  <si>
    <t>Иванов</t>
  </si>
  <si>
    <t>Петров</t>
  </si>
  <si>
    <t>Товар</t>
  </si>
  <si>
    <t>Цена</t>
  </si>
  <si>
    <t>Ноутбук</t>
  </si>
  <si>
    <t>Телефон</t>
  </si>
  <si>
    <t>Количество</t>
  </si>
  <si>
    <t>К клиента</t>
  </si>
  <si>
    <t>К товара</t>
  </si>
  <si>
    <t>Итого</t>
  </si>
  <si>
    <t>Код продажи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</si>
</sst>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/>
    <xf numFmtId="0" fontId="1" fillId="0" borderId="1" xfId="0" applyFont="1" applyBorder="1"/>
    <xf numFmtId="0" fontId="0" fillId="0" borderId="0" xfId="0" applyAlignment="1">
      <alignment horizontal="left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39" fmlaLink="$B$2" fmlaRange="Клиенты!$B$2:$B$3" noThreeD="1" sel="1" val="0"/>
</file>

<file path=xl/ctrlProps/ctrlProp3.xml><?xml version="1.0" encoding="utf-8"?>
<formControlPr xmlns="http://schemas.microsoft.com/office/spreadsheetml/2009/9/main" objectType="Drop" dropStyle="combo" dx="39" fmlaLink="$B$4" fmlaRange="Товары!$B$2:$B$3" noThreeD="1" sel="2" val="0"/>
</file>

<file path=xl/ctrlProps/ctrlProp4.xml><?xml version="1.0" encoding="utf-8"?>
<formControlPr xmlns="http://schemas.microsoft.com/office/spreadsheetml/2009/9/main" objectType="Spin" dx="39" fmlaLink="$B$7" max="100" page="10" val="3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4764</xdr:colOff>
          <xdr:row>2</xdr:row>
          <xdr:rowOff>95250</xdr:rowOff>
        </xdr:from>
        <xdr:to>
          <xdr:col>10</xdr:col>
          <xdr:colOff>314326</xdr:colOff>
          <xdr:row>3</xdr:row>
          <xdr:rowOff>171450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D78AE475-82DF-4B02-891A-EA9C2E6A3D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257176</xdr:colOff>
          <xdr:row>0</xdr:row>
          <xdr:rowOff>176212</xdr:rowOff>
        </xdr:from>
        <xdr:to>
          <xdr:col>3</xdr:col>
          <xdr:colOff>633414</xdr:colOff>
          <xdr:row>2</xdr:row>
          <xdr:rowOff>9525</xdr:rowOff>
        </xdr:to>
        <xdr:sp macro="" textlink="">
          <xdr:nvSpPr>
            <xdr:cNvPr id="4097" name="Drop Dow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1B14BBC5-8B83-40B6-A165-E1EC457BF5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261939</xdr:colOff>
          <xdr:row>2</xdr:row>
          <xdr:rowOff>242887</xdr:rowOff>
        </xdr:from>
        <xdr:to>
          <xdr:col>3</xdr:col>
          <xdr:colOff>638175</xdr:colOff>
          <xdr:row>3</xdr:row>
          <xdr:rowOff>176212</xdr:rowOff>
        </xdr:to>
        <xdr:sp macro="" textlink="">
          <xdr:nvSpPr>
            <xdr:cNvPr id="4098" name="Drop Dow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F19FC333-F42F-43EE-B0D1-E79B3CFE6C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671513</xdr:colOff>
          <xdr:row>6</xdr:row>
          <xdr:rowOff>9525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4099" name="Spinner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1046F8C1-581C-4C79-B765-958D9D2B96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4761</xdr:colOff>
          <xdr:row>5</xdr:row>
          <xdr:rowOff>152400</xdr:rowOff>
        </xdr:from>
        <xdr:to>
          <xdr:col>4</xdr:col>
          <xdr:colOff>338136</xdr:colOff>
          <xdr:row>7</xdr:row>
          <xdr:rowOff>9525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51CBDF4F-56B3-4205-B7EA-EB83CEC3C8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&#1044;&#1072;&#1103;&#1085;&#1072;%20&#1048;&#1089;&#1084;&#1072;&#1082;&#1086;&#1074;&#1072;/Downloads/Pochti_To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Продукция"/>
      <sheetName val="Ингридиенты"/>
      <sheetName val="Затраты"/>
      <sheetName val="Лист3"/>
    </sheetNames>
    <definedNames>
      <definedName name="Сохранить1"/>
    </defined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59FC2-79F9-4B90-8B6A-4AA2ECC53C15}">
  <sheetPr codeName="Лист1"/>
  <dimension ref="A1:B4"/>
  <sheetViews>
    <sheetView workbookViewId="0">
      <selection activeCell="C4" sqref="C4"/>
    </sheetView>
  </sheetViews>
  <sheetFormatPr defaultRowHeight="14.25" x14ac:dyDescent="0.45"/>
  <cols>
    <col min="1" max="1" width="5.33203125" customWidth="1"/>
    <col min="2" max="2" width="10.19921875" customWidth="1"/>
  </cols>
  <sheetData>
    <row r="1" spans="1:2" x14ac:dyDescent="0.45">
      <c r="A1" s="1" t="s">
        <v>0</v>
      </c>
      <c r="B1" s="2" t="s">
        <v>1</v>
      </c>
    </row>
    <row r="2" spans="1:2" x14ac:dyDescent="0.45">
      <c r="A2" s="1">
        <v>1</v>
      </c>
      <c r="B2" s="1" t="s">
        <v>2</v>
      </c>
    </row>
    <row r="3" spans="1:2" x14ac:dyDescent="0.45">
      <c r="A3" s="1">
        <v>2</v>
      </c>
      <c r="B3" s="1" t="s">
        <v>3</v>
      </c>
    </row>
    <row r="4" spans="1:2" x14ac:dyDescent="0.45">
      <c r="A4">
        <v>3</v>
      </c>
      <c r="B4" t="s">
        <v>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C9E05F-1EEF-4E9E-8DD7-A7C1518337A7}">
  <sheetPr codeName="Лист2"/>
  <dimension ref="A1:C3"/>
  <sheetViews>
    <sheetView workbookViewId="0">
      <selection activeCell="D5" sqref="D5"/>
    </sheetView>
  </sheetViews>
  <sheetFormatPr defaultRowHeight="14.25" x14ac:dyDescent="0.45"/>
  <cols>
    <col min="1" max="1" width="5.33203125" customWidth="1"/>
    <col min="2" max="2" width="10.73046875" customWidth="1"/>
  </cols>
  <sheetData>
    <row r="1" spans="1:3" x14ac:dyDescent="0.45">
      <c r="A1" s="1" t="s">
        <v>0</v>
      </c>
      <c r="B1" s="2" t="s">
        <v>5</v>
      </c>
      <c r="C1" s="2" t="s">
        <v>6</v>
      </c>
    </row>
    <row r="2" spans="1:3" x14ac:dyDescent="0.45">
      <c r="A2" s="1">
        <v>1</v>
      </c>
      <c r="B2" s="1" t="s">
        <v>7</v>
      </c>
      <c r="C2" s="1">
        <v>65000</v>
      </c>
    </row>
    <row r="3" spans="1:3" x14ac:dyDescent="0.45">
      <c r="A3" s="1">
        <v>2</v>
      </c>
      <c r="B3" s="1" t="s">
        <v>8</v>
      </c>
      <c r="C3" s="1">
        <v>40000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C9109-66CD-4194-AA93-0F36B6887DF4}">
  <sheetPr codeName="Лист3"/>
  <dimension ref="A1:H3"/>
  <sheetViews>
    <sheetView workbookViewId="0">
      <selection activeCell="J7" sqref="J7"/>
    </sheetView>
  </sheetViews>
  <sheetFormatPr defaultRowHeight="14.25" x14ac:dyDescent="0.45"/>
  <cols>
    <col min="2" max="2" width="9.53125" customWidth="1"/>
    <col min="3" max="3" width="11.33203125" customWidth="1"/>
    <col min="4" max="4" width="9.06640625" customWidth="1"/>
    <col min="5" max="5" width="14.46484375" customWidth="1"/>
    <col min="6" max="7" width="12.59765625" customWidth="1"/>
  </cols>
  <sheetData>
    <row r="1" spans="1:8" x14ac:dyDescent="0.45">
      <c r="A1" t="s">
        <v>0</v>
      </c>
      <c r="B1" t="s">
        <v>10</v>
      </c>
      <c r="C1" t="s">
        <v>1</v>
      </c>
      <c r="D1" t="s">
        <v>11</v>
      </c>
      <c r="E1" t="s">
        <v>5</v>
      </c>
      <c r="F1" t="s">
        <v>6</v>
      </c>
      <c r="G1" t="s">
        <v>9</v>
      </c>
      <c r="H1" t="s">
        <v>12</v>
      </c>
    </row>
    <row r="2" spans="1:8" x14ac:dyDescent="0.45">
      <c r="A2">
        <v>2</v>
      </c>
      <c r="B2">
        <v>2</v>
      </c>
      <c r="C2" t="s">
        <v>3</v>
      </c>
      <c r="D2">
        <v>2</v>
      </c>
      <c r="E2" t="s">
        <v>8</v>
      </c>
      <c r="F2">
        <v>40000</v>
      </c>
      <c r="G2">
        <v>3</v>
      </c>
      <c r="H2">
        <f>F2*G2</f>
        <v>120000</v>
      </c>
    </row>
    <row r="3" spans="1:8" x14ac:dyDescent="0.45">
      <c r="A3">
        <v>1</v>
      </c>
      <c r="B3">
        <v>1</v>
      </c>
      <c r="C3" t="s">
        <v>2</v>
      </c>
      <c r="D3">
        <v>1</v>
      </c>
      <c r="E3" t="s">
        <v>7</v>
      </c>
      <c r="F3">
        <v>65000</v>
      </c>
      <c r="G3">
        <v>2</v>
      </c>
      <c r="H3">
        <f>F3*G3</f>
        <v>130000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добавить1">
                <anchor moveWithCells="1" sizeWithCells="1">
                  <from>
                    <xdr:col>9</xdr:col>
                    <xdr:colOff>4763</xdr:colOff>
                    <xdr:row>2</xdr:row>
                    <xdr:rowOff>95250</xdr:rowOff>
                  </from>
                  <to>
                    <xdr:col>10</xdr:col>
                    <xdr:colOff>314325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3D60CD-93AF-4211-81A5-B5E7D2C03BA9}">
  <sheetPr codeName="Лист4"/>
  <dimension ref="A1:B7"/>
  <sheetViews>
    <sheetView tabSelected="1" workbookViewId="0">
      <selection activeCell="E2" sqref="E2"/>
    </sheetView>
  </sheetViews>
  <sheetFormatPr defaultRowHeight="14.25" x14ac:dyDescent="0.45"/>
  <cols>
    <col min="1" max="1" width="13.53125" customWidth="1"/>
    <col min="2" max="2" width="13.19921875" customWidth="1"/>
  </cols>
  <sheetData>
    <row r="1" spans="1:2" x14ac:dyDescent="0.45">
      <c r="A1" t="s">
        <v>13</v>
      </c>
      <c r="B1" s="3">
        <f>Продажи!A3+1</f>
        <v>2</v>
      </c>
    </row>
    <row r="2" spans="1:2" x14ac:dyDescent="0.45">
      <c r="A2" t="s">
        <v>1</v>
      </c>
      <c r="B2" s="3">
        <v>1</v>
      </c>
    </row>
    <row r="3" spans="1:2" ht="19.149999999999999" customHeight="1" x14ac:dyDescent="0.45">
      <c r="B3" s="3" t="str">
        <f>VLOOKUP(B2,Клиенты!A2:B3,2)</f>
        <v>Лесив</v>
      </c>
    </row>
    <row r="4" spans="1:2" x14ac:dyDescent="0.45">
      <c r="A4" t="s">
        <v>5</v>
      </c>
      <c r="B4" s="3">
        <v>2</v>
      </c>
    </row>
    <row r="5" spans="1:2" ht="19.5" customHeight="1" x14ac:dyDescent="0.45">
      <c r="B5" s="3" t="str">
        <f>VLOOKUP(B4,Товары!A2:C3,2)</f>
        <v>Телефон</v>
      </c>
    </row>
    <row r="6" spans="1:2" x14ac:dyDescent="0.45">
      <c r="A6" t="s">
        <v>6</v>
      </c>
      <c r="B6" s="3">
        <f>VLOOKUP(B4,Товары!A2:C3,3)</f>
        <v>40000</v>
      </c>
    </row>
    <row r="7" spans="1:2" ht="21" customHeight="1" x14ac:dyDescent="0.45">
      <c r="A7" t="s">
        <v>9</v>
      </c>
      <c r="B7" s="3">
        <v>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Drop Down 1">
              <controlPr defaultSize="0" autoLine="0" autoPict="0">
                <anchor moveWithCells="1">
                  <from>
                    <xdr:col>2</xdr:col>
                    <xdr:colOff>257175</xdr:colOff>
                    <xdr:row>0</xdr:row>
                    <xdr:rowOff>176213</xdr:rowOff>
                  </from>
                  <to>
                    <xdr:col>3</xdr:col>
                    <xdr:colOff>633413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Drop Down 2">
              <controlPr defaultSize="0" autoLine="0" autoPict="0">
                <anchor moveWithCells="1">
                  <from>
                    <xdr:col>2</xdr:col>
                    <xdr:colOff>261938</xdr:colOff>
                    <xdr:row>2</xdr:row>
                    <xdr:rowOff>242888</xdr:rowOff>
                  </from>
                  <to>
                    <xdr:col>3</xdr:col>
                    <xdr:colOff>638175</xdr:colOff>
                    <xdr:row>3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Spinner 3">
              <controlPr defaultSize="0" autoPict="0">
                <anchor moveWithCells="1" sizeWithCells="1">
                  <from>
                    <xdr:col>1</xdr:col>
                    <xdr:colOff>671513</xdr:colOff>
                    <xdr:row>6</xdr:row>
                    <xdr:rowOff>9525</xdr:rowOff>
                  </from>
                  <to>
                    <xdr:col>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_xludf.save">
                <anchor moveWithCells="1" sizeWithCells="1">
                  <from>
                    <xdr:col>3</xdr:col>
                    <xdr:colOff>4763</xdr:colOff>
                    <xdr:row>5</xdr:row>
                    <xdr:rowOff>152400</xdr:rowOff>
                  </from>
                  <to>
                    <xdr:col>4</xdr:col>
                    <xdr:colOff>338138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Клиенты</vt:lpstr>
      <vt:lpstr>Товары</vt:lpstr>
      <vt:lpstr>Продажи</vt:lpstr>
      <vt:lpstr>Лист4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Даяна Исмакова</dc:creator>
  <cp:lastModifiedBy>Даяна Исмакова</cp:lastModifiedBy>
  <dcterms:created xsi:type="dcterms:W3CDTF">2019-06-09T07:56:19Z</dcterms:created>
  <dcterms:modified xsi:type="dcterms:W3CDTF">2019-06-09T10:20:44Z</dcterms:modified>
</cp:coreProperties>
</file>